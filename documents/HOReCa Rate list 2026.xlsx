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6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imanshu Rana\Downloads\"/>
    </mc:Choice>
  </mc:AlternateContent>
  <xr:revisionPtr revIDLastSave="0" documentId="8_{AA59F07F-12D8-42BA-99FC-DE00D16EA697}" xr6:coauthVersionLast="36" xr6:coauthVersionMax="36" xr10:uidLastSave="{00000000-0000-0000-0000-000000000000}"/>
  <bookViews>
    <workbookView xWindow="-110" yWindow="-110" windowWidth="19420" windowHeight="10300" xr2:uid="{00000000-000D-0000-FFFF-FFFF00000000}"/>
  </bookViews>
  <sheets>
    <sheet name="Table 1" sheetId="1" r:id="rId1"/>
  </sheets>
  <calcPr calcId="191029" concurrentCalc="0"/>
</workbook>
</file>

<file path=xl/calcChain.xml><?xml version="1.0" encoding="utf-8"?>
<calcChain xmlns="http://schemas.openxmlformats.org/spreadsheetml/2006/main">
  <c r="F5" i="1" l="1"/>
  <c r="F6" i="1"/>
  <c r="F38" i="1"/>
  <c r="F39" i="1"/>
  <c r="F40" i="1"/>
  <c r="F41" i="1"/>
  <c r="F42" i="1"/>
  <c r="F43" i="1"/>
  <c r="F44" i="1"/>
  <c r="F45" i="1"/>
  <c r="F46" i="1"/>
  <c r="F47" i="1"/>
  <c r="F37" i="1"/>
  <c r="F32" i="1"/>
  <c r="F33" i="1"/>
  <c r="F34" i="1"/>
  <c r="F31" i="1"/>
  <c r="F30" i="1"/>
  <c r="F13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12" i="1"/>
  <c r="F7" i="1"/>
  <c r="F8" i="1"/>
  <c r="F9" i="1"/>
  <c r="F4" i="1"/>
</calcChain>
</file>

<file path=xl/sharedStrings.xml><?xml version="1.0" encoding="utf-8"?>
<sst xmlns="http://schemas.openxmlformats.org/spreadsheetml/2006/main" count="69" uniqueCount="53">
  <si>
    <t>Price Excl GST</t>
  </si>
  <si>
    <t>GST</t>
  </si>
  <si>
    <t>NO</t>
  </si>
  <si>
    <t>Castor/Icing/Breakfast 1kg Pack</t>
  </si>
  <si>
    <t>Demerara Brown Sugar Medium Grain 1kg</t>
  </si>
  <si>
    <t>Sugar Cubes 2kg</t>
  </si>
  <si>
    <t>Brown sugar fine grain 1kg</t>
  </si>
  <si>
    <t>Muscavado Sugar 500g</t>
  </si>
  <si>
    <t>Bura 1kg</t>
  </si>
  <si>
    <t>Sulpherless Desi Khand  1kg</t>
  </si>
  <si>
    <t>Organic Jaggery Powder 800g</t>
  </si>
  <si>
    <t>Jaggery 1kg (Vacuum Packed)</t>
  </si>
  <si>
    <t>Brown Sugar (Medium) 50kg bag</t>
  </si>
  <si>
    <t>Brown Sugar (fine) 50kg bag</t>
  </si>
  <si>
    <t>Castor/Icing/Breakfast 50kg Pack</t>
  </si>
  <si>
    <t>Bura 50kg</t>
  </si>
  <si>
    <t>Desi Khand 50kg Bag</t>
  </si>
  <si>
    <t>Jaggery Cubes BULK</t>
  </si>
  <si>
    <t>Syrups</t>
  </si>
  <si>
    <t>Treacle 800ml (1.1kg)</t>
  </si>
  <si>
    <t>Blueberry mixer 750ml</t>
  </si>
  <si>
    <t>Fruit Beer Mixer 750ml</t>
  </si>
  <si>
    <t>Kala Khatta Mixer 750ml</t>
  </si>
  <si>
    <t>Aam Panna Mixer 750ml</t>
  </si>
  <si>
    <t>Mojito Mixer 750ml</t>
  </si>
  <si>
    <t>Lime Iced Tea Mixer 750ml</t>
  </si>
  <si>
    <t>Grenadine Mixer 750ml</t>
  </si>
  <si>
    <t>Lemonade Mixer 750ml</t>
  </si>
  <si>
    <t>Kerala Pineapple Mixer 750ml</t>
  </si>
  <si>
    <t>Pina Colada Mixer 750ml</t>
  </si>
  <si>
    <t xml:space="preserve">rates ex factory (Freight Extra), Payment - Advance, minimum order value Rs 50,000/- </t>
  </si>
  <si>
    <t>Blue Curacao Mixer 750ml bottle rate</t>
  </si>
  <si>
    <t>Rate per bottle</t>
  </si>
  <si>
    <t>Liquid Sugar Syrup 800ml (1.1kg) bottle cost Rs 65/</t>
  </si>
  <si>
    <t>Jaggery Powder 40kg Bag (only for annual contract buyer)</t>
  </si>
  <si>
    <t>Golden 74  50 kg drum</t>
  </si>
  <si>
    <t>Creamy White 74 (50 kg drum)</t>
  </si>
  <si>
    <t>Blackstrap molasses (Liquid Jaggery) 50 kg drum</t>
  </si>
  <si>
    <t>DHAMPURE SPECIALITY SUGARS LTD.</t>
  </si>
  <si>
    <t>Rate List HORECA/ B2B/ BULK SUPPLY</t>
  </si>
  <si>
    <t>Name/ SKU</t>
  </si>
  <si>
    <t>Bulk Pack per kg</t>
  </si>
  <si>
    <t>Carton/ Bag (pcs or kg)</t>
  </si>
  <si>
    <t>Printed MRP</t>
  </si>
  <si>
    <t>Sugar Sachet White (Dhampur logo) 5g Each 1kg Pack</t>
  </si>
  <si>
    <t>Sugar Sachet Brown (Dhampur) 5g Each 1kg Pack</t>
  </si>
  <si>
    <t>Sugar Sachet White (Customize Logo) 5g Each 1kg Pack</t>
  </si>
  <si>
    <t>Sugar Sachet Brown (Customize Logo) 5g Each 1kg Pack</t>
  </si>
  <si>
    <t>Jaggery Powder Sachet 5g Each 1kg Pack</t>
  </si>
  <si>
    <t>Gur Saunf Sachet 3g Each 1kg Pack</t>
  </si>
  <si>
    <t>Number of sachet per kg</t>
  </si>
  <si>
    <t xml:space="preserve">Sugars and Sweeteners </t>
  </si>
  <si>
    <t>MRP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</si>
</sst>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0"/>
      <color rgb="FF000000"/>
      <name val="Times New Roman"/>
      <charset val="204"/>
    </font>
    <font>
      <sz val="10"/>
      <color rgb="FF00000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2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1" fontId="1" fillId="0" borderId="1" xfId="0" applyNumberFormat="1" applyFont="1" applyBorder="1" applyAlignment="1">
      <alignment horizontal="center" vertical="top" shrinkToFit="1"/>
    </xf>
    <xf numFmtId="9" fontId="1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164" fontId="1" fillId="0" borderId="1" xfId="0" applyNumberFormat="1" applyFont="1" applyBorder="1" applyAlignment="1">
      <alignment horizontal="center" vertical="top" shrinkToFit="1"/>
    </xf>
    <xf numFmtId="0" fontId="4" fillId="0" borderId="0" xfId="0" applyFont="1" applyAlignment="1">
      <alignment horizontal="left" vertical="top"/>
    </xf>
    <xf numFmtId="0" fontId="2" fillId="0" borderId="1" xfId="0" applyFont="1" applyBorder="1" applyAlignment="1">
      <alignment horizontal="left" vertical="top" wrapText="1" indent="1"/>
    </xf>
    <xf numFmtId="0" fontId="4" fillId="0" borderId="0" xfId="0" applyFont="1" applyAlignment="1">
      <alignment horizontal="left" vertical="top" indent="1"/>
    </xf>
    <xf numFmtId="0" fontId="2" fillId="0" borderId="1" xfId="0" applyFont="1" applyBorder="1" applyAlignment="1">
      <alignment horizontal="left" vertical="top" wrapText="1" indent="3"/>
    </xf>
    <xf numFmtId="0" fontId="3" fillId="0" borderId="1" xfId="0" applyFont="1" applyBorder="1" applyAlignment="1">
      <alignment horizontal="left" vertical="top" wrapText="1" indent="3"/>
    </xf>
    <xf numFmtId="0" fontId="1" fillId="0" borderId="1" xfId="0" applyFont="1" applyBorder="1" applyAlignment="1">
      <alignment horizontal="left" wrapText="1" indent="3"/>
    </xf>
    <xf numFmtId="0" fontId="2" fillId="0" borderId="1" xfId="0" applyFont="1" applyBorder="1" applyAlignment="1">
      <alignment horizontal="left" vertical="top" wrapText="1" indent="4"/>
    </xf>
    <xf numFmtId="0" fontId="4" fillId="0" borderId="0" xfId="0" applyFont="1" applyAlignment="1">
      <alignment horizontal="left" vertical="top" indent="4"/>
    </xf>
    <xf numFmtId="0" fontId="2" fillId="0" borderId="1" xfId="0" applyFont="1" applyBorder="1" applyAlignment="1">
      <alignment vertical="top" wrapText="1"/>
    </xf>
    <xf numFmtId="2" fontId="4" fillId="0" borderId="0" xfId="0" applyNumberFormat="1" applyFont="1" applyAlignment="1">
      <alignment horizontal="left" vertical="top" indent="4"/>
    </xf>
    <xf numFmtId="2" fontId="3" fillId="0" borderId="1" xfId="0" applyNumberFormat="1" applyFont="1" applyBorder="1" applyAlignment="1">
      <alignment horizontal="left" vertical="top" wrapText="1" indent="5"/>
    </xf>
    <xf numFmtId="2" fontId="1" fillId="0" borderId="1" xfId="0" applyNumberFormat="1" applyFont="1" applyBorder="1" applyAlignment="1">
      <alignment horizontal="left" wrapText="1" indent="5"/>
    </xf>
    <xf numFmtId="2" fontId="2" fillId="0" borderId="1" xfId="0" applyNumberFormat="1" applyFont="1" applyBorder="1" applyAlignment="1">
      <alignment horizontal="left" vertical="top" wrapText="1" indent="5"/>
    </xf>
    <xf numFmtId="2" fontId="3" fillId="0" borderId="1" xfId="0" applyNumberFormat="1" applyFont="1" applyBorder="1" applyAlignment="1">
      <alignment vertical="top" wrapText="1"/>
    </xf>
    <xf numFmtId="2" fontId="3" fillId="0" borderId="1" xfId="0" applyNumberFormat="1" applyFont="1" applyBorder="1" applyAlignment="1">
      <alignment horizontal="left" vertical="top" wrapText="1" indent="3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center" vertical="top"/>
    </xf>
    <xf numFmtId="0" fontId="2" fillId="0" borderId="0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"/>
  <sheetViews>
    <sheetView tabSelected="1" workbookViewId="0">
      <selection activeCell="C4" sqref="C4"/>
    </sheetView>
  </sheetViews>
  <sheetFormatPr defaultRowHeight="13" x14ac:dyDescent="0.3"/>
  <cols>
    <col min="1" max="1" width="5.69921875" customWidth="1"/>
    <col min="2" max="2" width="63.296875" style="9" bestFit="1" customWidth="1"/>
    <col min="3" max="3" width="16.19921875" style="11" customWidth="1"/>
    <col min="4" max="4" width="14.59765625" style="16" bestFit="1" customWidth="1"/>
    <col min="5" max="5" width="12.8984375" style="9" customWidth="1"/>
    <col min="6" max="6" width="11.796875" style="9" bestFit="1" customWidth="1"/>
    <col min="7" max="7" width="8.19921875" style="9" customWidth="1"/>
    <col min="8" max="8" width="14" style="9" bestFit="1" customWidth="1"/>
    <col min="9" max="9" width="15.09765625" customWidth="1"/>
  </cols>
  <sheetData>
    <row r="1" spans="1:9" s="25" customFormat="1" ht="25" x14ac:dyDescent="0.3">
      <c r="A1" s="27" t="s">
        <v>38</v>
      </c>
      <c r="B1" s="27"/>
      <c r="C1" s="27"/>
      <c r="D1" s="27"/>
      <c r="E1" s="27"/>
      <c r="F1" s="27"/>
      <c r="G1" s="27"/>
      <c r="H1" s="27"/>
      <c r="I1" s="27"/>
    </row>
    <row r="2" spans="1:9" x14ac:dyDescent="0.25">
      <c r="B2" s="2" t="s">
        <v>39</v>
      </c>
      <c r="C2" s="10"/>
      <c r="D2" s="15"/>
      <c r="E2" s="2"/>
      <c r="F2" s="1"/>
      <c r="G2" s="1"/>
      <c r="H2" s="1"/>
    </row>
    <row r="3" spans="1:9" s="24" customFormat="1" ht="26" x14ac:dyDescent="0.3">
      <c r="B3" s="2" t="s">
        <v>40</v>
      </c>
      <c r="C3" s="10" t="s">
        <v>52</v>
      </c>
      <c r="D3" s="17" t="s">
        <v>41</v>
      </c>
      <c r="E3" s="2" t="s">
        <v>42</v>
      </c>
      <c r="F3" s="2" t="s">
        <v>0</v>
      </c>
      <c r="G3" s="2" t="s">
        <v>1</v>
      </c>
      <c r="H3" s="2" t="s">
        <v>43</v>
      </c>
      <c r="I3" s="26" t="s">
        <v>50</v>
      </c>
    </row>
    <row r="4" spans="1:9" x14ac:dyDescent="0.3">
      <c r="B4" s="3" t="s">
        <v>44</v>
      </c>
      <c r="C4" s="13"/>
      <c r="D4" s="19">
        <v>80</v>
      </c>
      <c r="E4" s="3">
        <v>10</v>
      </c>
      <c r="F4" s="4">
        <f>D4*E4</f>
        <v>800</v>
      </c>
      <c r="G4" s="5">
        <v>0.05</v>
      </c>
      <c r="H4" s="6" t="s">
        <v>2</v>
      </c>
      <c r="I4">
        <v>200</v>
      </c>
    </row>
    <row r="5" spans="1:9" x14ac:dyDescent="0.3">
      <c r="B5" s="3" t="s">
        <v>45</v>
      </c>
      <c r="C5" s="13"/>
      <c r="D5" s="19">
        <v>90</v>
      </c>
      <c r="E5" s="3">
        <v>10</v>
      </c>
      <c r="F5" s="4">
        <f t="shared" ref="F5:F6" si="0">D5*E5</f>
        <v>900</v>
      </c>
      <c r="G5" s="5">
        <v>0.05</v>
      </c>
      <c r="H5" s="6" t="s">
        <v>2</v>
      </c>
      <c r="I5">
        <v>200</v>
      </c>
    </row>
    <row r="6" spans="1:9" x14ac:dyDescent="0.3">
      <c r="B6" s="3" t="s">
        <v>46</v>
      </c>
      <c r="C6" s="13"/>
      <c r="D6" s="19">
        <v>85</v>
      </c>
      <c r="E6" s="3">
        <v>10</v>
      </c>
      <c r="F6" s="4">
        <f t="shared" si="0"/>
        <v>850</v>
      </c>
      <c r="G6" s="5">
        <v>0.05</v>
      </c>
      <c r="H6" s="6" t="s">
        <v>2</v>
      </c>
      <c r="I6">
        <v>200</v>
      </c>
    </row>
    <row r="7" spans="1:9" x14ac:dyDescent="0.3">
      <c r="B7" s="3" t="s">
        <v>47</v>
      </c>
      <c r="C7" s="13"/>
      <c r="D7" s="19">
        <v>95</v>
      </c>
      <c r="E7" s="3">
        <v>10</v>
      </c>
      <c r="F7" s="4">
        <f t="shared" ref="F7:F9" si="1">D7*E7</f>
        <v>950</v>
      </c>
      <c r="G7" s="5">
        <v>0.05</v>
      </c>
      <c r="H7" s="6" t="s">
        <v>2</v>
      </c>
      <c r="I7">
        <v>200</v>
      </c>
    </row>
    <row r="8" spans="1:9" x14ac:dyDescent="0.3">
      <c r="B8" s="3" t="s">
        <v>48</v>
      </c>
      <c r="C8" s="13"/>
      <c r="D8" s="19">
        <v>120</v>
      </c>
      <c r="E8" s="3">
        <v>10</v>
      </c>
      <c r="F8" s="4">
        <f t="shared" si="1"/>
        <v>1200</v>
      </c>
      <c r="G8" s="5">
        <v>0.05</v>
      </c>
      <c r="H8" s="6" t="s">
        <v>2</v>
      </c>
      <c r="I8">
        <v>200</v>
      </c>
    </row>
    <row r="9" spans="1:9" x14ac:dyDescent="0.3">
      <c r="B9" s="3" t="s">
        <v>49</v>
      </c>
      <c r="C9" s="13"/>
      <c r="D9" s="19">
        <v>250</v>
      </c>
      <c r="E9" s="3">
        <v>10</v>
      </c>
      <c r="F9" s="4">
        <f t="shared" si="1"/>
        <v>2500</v>
      </c>
      <c r="G9" s="5">
        <v>0.05</v>
      </c>
      <c r="H9" s="6" t="s">
        <v>2</v>
      </c>
      <c r="I9">
        <v>330</v>
      </c>
    </row>
    <row r="10" spans="1:9" x14ac:dyDescent="0.25">
      <c r="B10" s="1"/>
      <c r="C10" s="14"/>
      <c r="D10" s="20"/>
      <c r="E10" s="1"/>
      <c r="F10" s="1"/>
      <c r="G10" s="1"/>
      <c r="H10" s="1"/>
    </row>
    <row r="11" spans="1:9" x14ac:dyDescent="0.25">
      <c r="B11" s="7" t="s">
        <v>51</v>
      </c>
      <c r="C11" s="12"/>
      <c r="D11" s="21"/>
      <c r="E11" s="7"/>
      <c r="F11" s="1"/>
      <c r="G11" s="1"/>
      <c r="H11" s="1"/>
    </row>
    <row r="12" spans="1:9" x14ac:dyDescent="0.3">
      <c r="B12" s="3" t="s">
        <v>3</v>
      </c>
      <c r="C12" s="13">
        <v>130</v>
      </c>
      <c r="D12" s="19">
        <v>90</v>
      </c>
      <c r="E12" s="3">
        <v>20</v>
      </c>
      <c r="F12" s="4">
        <f>D12*E12</f>
        <v>1800</v>
      </c>
      <c r="G12" s="5">
        <v>0.05</v>
      </c>
      <c r="H12" s="6" t="s">
        <v>2</v>
      </c>
    </row>
    <row r="13" spans="1:9" x14ac:dyDescent="0.3">
      <c r="B13" s="3" t="s">
        <v>4</v>
      </c>
      <c r="C13" s="23">
        <v>99</v>
      </c>
      <c r="D13" s="19">
        <v>74</v>
      </c>
      <c r="E13" s="3">
        <v>20</v>
      </c>
      <c r="F13" s="4">
        <f t="shared" ref="F13:F27" si="2">D13*E13</f>
        <v>1480</v>
      </c>
      <c r="G13" s="5">
        <v>0.05</v>
      </c>
      <c r="H13" s="4">
        <v>99</v>
      </c>
    </row>
    <row r="14" spans="1:9" x14ac:dyDescent="0.3">
      <c r="B14" s="3" t="s">
        <v>5</v>
      </c>
      <c r="C14" s="13">
        <v>120</v>
      </c>
      <c r="D14" s="19"/>
      <c r="E14" s="3">
        <v>10</v>
      </c>
      <c r="F14" s="4">
        <v>1200</v>
      </c>
      <c r="G14" s="5">
        <v>0.05</v>
      </c>
      <c r="H14" s="6" t="s">
        <v>2</v>
      </c>
    </row>
    <row r="15" spans="1:9" x14ac:dyDescent="0.3">
      <c r="B15" s="3" t="s">
        <v>6</v>
      </c>
      <c r="C15" s="13">
        <v>99</v>
      </c>
      <c r="D15" s="19">
        <v>79</v>
      </c>
      <c r="E15" s="3">
        <v>50</v>
      </c>
      <c r="F15" s="4">
        <f t="shared" si="2"/>
        <v>3950</v>
      </c>
      <c r="G15" s="5">
        <v>0.05</v>
      </c>
      <c r="H15" s="4">
        <v>110</v>
      </c>
    </row>
    <row r="16" spans="1:9" x14ac:dyDescent="0.3">
      <c r="B16" s="3" t="s">
        <v>7</v>
      </c>
      <c r="C16" s="13">
        <v>80</v>
      </c>
      <c r="D16" s="19">
        <v>60</v>
      </c>
      <c r="E16" s="3">
        <v>40</v>
      </c>
      <c r="F16" s="4">
        <f t="shared" si="2"/>
        <v>2400</v>
      </c>
      <c r="G16" s="5">
        <v>0.05</v>
      </c>
      <c r="H16" s="4">
        <v>80</v>
      </c>
    </row>
    <row r="17" spans="2:8" x14ac:dyDescent="0.3">
      <c r="B17" s="3" t="s">
        <v>8</v>
      </c>
      <c r="C17" s="13">
        <v>99</v>
      </c>
      <c r="D17" s="19">
        <v>74</v>
      </c>
      <c r="E17" s="3">
        <v>50</v>
      </c>
      <c r="F17" s="4">
        <f t="shared" si="2"/>
        <v>3700</v>
      </c>
      <c r="G17" s="5">
        <v>0.05</v>
      </c>
      <c r="H17" s="4">
        <v>99</v>
      </c>
    </row>
    <row r="18" spans="2:8" x14ac:dyDescent="0.3">
      <c r="B18" s="3" t="s">
        <v>9</v>
      </c>
      <c r="C18" s="13">
        <v>99</v>
      </c>
      <c r="D18" s="19">
        <v>74</v>
      </c>
      <c r="E18" s="3">
        <v>50</v>
      </c>
      <c r="F18" s="4">
        <f t="shared" si="2"/>
        <v>3700</v>
      </c>
      <c r="G18" s="5">
        <v>0.05</v>
      </c>
      <c r="H18" s="4">
        <v>99</v>
      </c>
    </row>
    <row r="19" spans="2:8" x14ac:dyDescent="0.3">
      <c r="B19" s="3" t="s">
        <v>10</v>
      </c>
      <c r="C19" s="13">
        <v>99</v>
      </c>
      <c r="D19" s="19">
        <v>74</v>
      </c>
      <c r="E19" s="3">
        <v>20</v>
      </c>
      <c r="F19" s="4">
        <f t="shared" si="2"/>
        <v>1480</v>
      </c>
      <c r="G19" s="5">
        <v>0.05</v>
      </c>
      <c r="H19" s="4">
        <v>99</v>
      </c>
    </row>
    <row r="20" spans="2:8" x14ac:dyDescent="0.3">
      <c r="B20" s="3" t="s">
        <v>11</v>
      </c>
      <c r="C20" s="13">
        <v>120</v>
      </c>
      <c r="D20" s="19">
        <v>90</v>
      </c>
      <c r="E20" s="3">
        <v>20</v>
      </c>
      <c r="F20" s="4">
        <f t="shared" si="2"/>
        <v>1800</v>
      </c>
      <c r="G20" s="5">
        <v>0.05</v>
      </c>
      <c r="H20" s="4">
        <v>99</v>
      </c>
    </row>
    <row r="21" spans="2:8" x14ac:dyDescent="0.3">
      <c r="B21" s="3" t="s">
        <v>12</v>
      </c>
      <c r="C21" s="13"/>
      <c r="D21" s="19">
        <v>55</v>
      </c>
      <c r="E21" s="3">
        <v>50</v>
      </c>
      <c r="F21" s="4">
        <f t="shared" si="2"/>
        <v>2750</v>
      </c>
      <c r="G21" s="5">
        <v>0.05</v>
      </c>
      <c r="H21" s="6" t="s">
        <v>2</v>
      </c>
    </row>
    <row r="22" spans="2:8" x14ac:dyDescent="0.3">
      <c r="B22" s="3" t="s">
        <v>13</v>
      </c>
      <c r="C22" s="13"/>
      <c r="D22" s="19">
        <v>60</v>
      </c>
      <c r="E22" s="3">
        <v>50</v>
      </c>
      <c r="F22" s="4">
        <f t="shared" si="2"/>
        <v>3000</v>
      </c>
      <c r="G22" s="5">
        <v>0.05</v>
      </c>
      <c r="H22" s="6" t="s">
        <v>2</v>
      </c>
    </row>
    <row r="23" spans="2:8" x14ac:dyDescent="0.3">
      <c r="B23" s="3" t="s">
        <v>14</v>
      </c>
      <c r="C23" s="13"/>
      <c r="D23" s="19">
        <v>55</v>
      </c>
      <c r="E23" s="3">
        <v>50</v>
      </c>
      <c r="F23" s="4">
        <f t="shared" si="2"/>
        <v>2750</v>
      </c>
      <c r="G23" s="5">
        <v>0.05</v>
      </c>
      <c r="H23" s="6" t="s">
        <v>2</v>
      </c>
    </row>
    <row r="24" spans="2:8" x14ac:dyDescent="0.25">
      <c r="B24" s="3" t="s">
        <v>15</v>
      </c>
      <c r="C24" s="13"/>
      <c r="D24" s="19">
        <v>55</v>
      </c>
      <c r="E24" s="3">
        <v>50</v>
      </c>
      <c r="F24" s="4">
        <f t="shared" si="2"/>
        <v>2750</v>
      </c>
      <c r="G24" s="5">
        <v>0.05</v>
      </c>
      <c r="H24" s="1"/>
    </row>
    <row r="25" spans="2:8" x14ac:dyDescent="0.3">
      <c r="B25" s="3" t="s">
        <v>16</v>
      </c>
      <c r="C25" s="13"/>
      <c r="D25" s="19">
        <v>65</v>
      </c>
      <c r="E25" s="3">
        <v>50</v>
      </c>
      <c r="F25" s="4">
        <f t="shared" si="2"/>
        <v>3250</v>
      </c>
      <c r="G25" s="5">
        <v>0</v>
      </c>
      <c r="H25" s="6" t="s">
        <v>2</v>
      </c>
    </row>
    <row r="26" spans="2:8" x14ac:dyDescent="0.3">
      <c r="B26" s="3" t="s">
        <v>17</v>
      </c>
      <c r="C26" s="13"/>
      <c r="D26" s="19">
        <v>60</v>
      </c>
      <c r="E26" s="3">
        <v>20</v>
      </c>
      <c r="F26" s="4">
        <f t="shared" si="2"/>
        <v>1200</v>
      </c>
      <c r="G26" s="5">
        <v>0</v>
      </c>
      <c r="H26" s="6" t="s">
        <v>2</v>
      </c>
    </row>
    <row r="27" spans="2:8" x14ac:dyDescent="0.3">
      <c r="B27" s="3" t="s">
        <v>34</v>
      </c>
      <c r="C27" s="13"/>
      <c r="D27" s="19">
        <v>66</v>
      </c>
      <c r="E27" s="3">
        <v>40</v>
      </c>
      <c r="F27" s="4">
        <f t="shared" si="2"/>
        <v>2640</v>
      </c>
      <c r="G27" s="5">
        <v>0</v>
      </c>
      <c r="H27" s="6" t="s">
        <v>2</v>
      </c>
    </row>
    <row r="28" spans="2:8" x14ac:dyDescent="0.25">
      <c r="B28" s="1"/>
      <c r="C28" s="14"/>
      <c r="D28" s="20"/>
      <c r="E28" s="1"/>
      <c r="F28" s="1"/>
      <c r="G28" s="1"/>
      <c r="H28" s="1"/>
    </row>
    <row r="29" spans="2:8" x14ac:dyDescent="0.25">
      <c r="B29" s="7" t="s">
        <v>18</v>
      </c>
      <c r="C29" s="12"/>
      <c r="D29" s="21"/>
      <c r="E29" s="7"/>
      <c r="F29" s="1"/>
      <c r="G29" s="1"/>
      <c r="H29" s="1"/>
    </row>
    <row r="30" spans="2:8" x14ac:dyDescent="0.3">
      <c r="B30" s="3" t="s">
        <v>33</v>
      </c>
      <c r="C30" s="13">
        <v>120</v>
      </c>
      <c r="D30" s="19">
        <v>90</v>
      </c>
      <c r="E30" s="3">
        <v>15</v>
      </c>
      <c r="F30" s="4">
        <f>65*12</f>
        <v>780</v>
      </c>
      <c r="G30" s="5">
        <v>0.05</v>
      </c>
      <c r="H30" s="4">
        <v>120</v>
      </c>
    </row>
    <row r="31" spans="2:8" x14ac:dyDescent="0.3">
      <c r="B31" s="3" t="s">
        <v>35</v>
      </c>
      <c r="C31" s="13"/>
      <c r="D31" s="19">
        <v>50</v>
      </c>
      <c r="E31" s="3">
        <v>50</v>
      </c>
      <c r="F31" s="8">
        <f>D31*E31</f>
        <v>2500</v>
      </c>
      <c r="G31" s="5">
        <v>0.05</v>
      </c>
      <c r="H31" s="6" t="s">
        <v>2</v>
      </c>
    </row>
    <row r="32" spans="2:8" x14ac:dyDescent="0.3">
      <c r="B32" s="3" t="s">
        <v>36</v>
      </c>
      <c r="C32" s="13"/>
      <c r="D32" s="19">
        <v>55</v>
      </c>
      <c r="E32" s="3">
        <v>50</v>
      </c>
      <c r="F32" s="8">
        <f t="shared" ref="F32:F34" si="3">D32*E32</f>
        <v>2750</v>
      </c>
      <c r="G32" s="5">
        <v>0.05</v>
      </c>
      <c r="H32" s="6" t="s">
        <v>2</v>
      </c>
    </row>
    <row r="33" spans="2:8" x14ac:dyDescent="0.3">
      <c r="B33" s="3" t="s">
        <v>19</v>
      </c>
      <c r="C33" s="13">
        <v>299</v>
      </c>
      <c r="D33" s="19">
        <v>220</v>
      </c>
      <c r="E33" s="3">
        <v>50</v>
      </c>
      <c r="F33" s="8">
        <f t="shared" si="3"/>
        <v>11000</v>
      </c>
      <c r="G33" s="5">
        <v>0.05</v>
      </c>
      <c r="H33" s="4">
        <v>299</v>
      </c>
    </row>
    <row r="34" spans="2:8" x14ac:dyDescent="0.3">
      <c r="B34" s="3" t="s">
        <v>37</v>
      </c>
      <c r="C34" s="13"/>
      <c r="D34" s="19">
        <v>80</v>
      </c>
      <c r="E34" s="3">
        <v>50</v>
      </c>
      <c r="F34" s="8">
        <f t="shared" si="3"/>
        <v>4000</v>
      </c>
      <c r="G34" s="5">
        <v>0.05</v>
      </c>
      <c r="H34" s="4" t="s">
        <v>2</v>
      </c>
    </row>
    <row r="35" spans="2:8" x14ac:dyDescent="0.3">
      <c r="B35" s="3"/>
      <c r="C35" s="13"/>
      <c r="D35" s="19"/>
      <c r="E35" s="3"/>
      <c r="F35" s="4"/>
      <c r="G35" s="5"/>
      <c r="H35" s="4"/>
    </row>
    <row r="36" spans="2:8" x14ac:dyDescent="0.3">
      <c r="B36" s="3"/>
      <c r="C36" s="13"/>
      <c r="D36" s="22" t="s">
        <v>32</v>
      </c>
      <c r="E36" s="3"/>
      <c r="F36" s="4"/>
      <c r="G36" s="5"/>
      <c r="H36" s="4"/>
    </row>
    <row r="37" spans="2:8" x14ac:dyDescent="0.3">
      <c r="B37" s="3" t="s">
        <v>31</v>
      </c>
      <c r="C37" s="13"/>
      <c r="D37" s="19">
        <v>150</v>
      </c>
      <c r="E37" s="3">
        <v>12</v>
      </c>
      <c r="F37" s="4">
        <f>D37*E37</f>
        <v>1800</v>
      </c>
      <c r="G37" s="5">
        <v>0.18</v>
      </c>
      <c r="H37" s="4">
        <v>299</v>
      </c>
    </row>
    <row r="38" spans="2:8" x14ac:dyDescent="0.3">
      <c r="B38" s="3" t="s">
        <v>20</v>
      </c>
      <c r="C38" s="13"/>
      <c r="D38" s="19">
        <v>150</v>
      </c>
      <c r="E38" s="3">
        <v>12</v>
      </c>
      <c r="F38" s="4">
        <f t="shared" ref="F38:F47" si="4">D38*E38</f>
        <v>1800</v>
      </c>
      <c r="G38" s="5">
        <v>0.18</v>
      </c>
      <c r="H38" s="4">
        <v>299</v>
      </c>
    </row>
    <row r="39" spans="2:8" x14ac:dyDescent="0.3">
      <c r="B39" s="3" t="s">
        <v>21</v>
      </c>
      <c r="C39" s="13"/>
      <c r="D39" s="19">
        <v>150</v>
      </c>
      <c r="E39" s="3">
        <v>12</v>
      </c>
      <c r="F39" s="4">
        <f t="shared" si="4"/>
        <v>1800</v>
      </c>
      <c r="G39" s="5">
        <v>0.18</v>
      </c>
      <c r="H39" s="4">
        <v>299</v>
      </c>
    </row>
    <row r="40" spans="2:8" x14ac:dyDescent="0.3">
      <c r="B40" s="3" t="s">
        <v>22</v>
      </c>
      <c r="C40" s="13"/>
      <c r="D40" s="19">
        <v>150</v>
      </c>
      <c r="E40" s="3">
        <v>12</v>
      </c>
      <c r="F40" s="4">
        <f t="shared" si="4"/>
        <v>1800</v>
      </c>
      <c r="G40" s="5">
        <v>0.18</v>
      </c>
      <c r="H40" s="4">
        <v>299</v>
      </c>
    </row>
    <row r="41" spans="2:8" x14ac:dyDescent="0.3">
      <c r="B41" s="3" t="s">
        <v>23</v>
      </c>
      <c r="C41" s="13"/>
      <c r="D41" s="19">
        <v>150</v>
      </c>
      <c r="E41" s="3">
        <v>12</v>
      </c>
      <c r="F41" s="4">
        <f t="shared" si="4"/>
        <v>1800</v>
      </c>
      <c r="G41" s="5">
        <v>0.18</v>
      </c>
      <c r="H41" s="4">
        <v>299</v>
      </c>
    </row>
    <row r="42" spans="2:8" x14ac:dyDescent="0.3">
      <c r="B42" s="3" t="s">
        <v>24</v>
      </c>
      <c r="C42" s="13"/>
      <c r="D42" s="19">
        <v>150</v>
      </c>
      <c r="E42" s="3">
        <v>12</v>
      </c>
      <c r="F42" s="4">
        <f t="shared" si="4"/>
        <v>1800</v>
      </c>
      <c r="G42" s="5">
        <v>0.18</v>
      </c>
      <c r="H42" s="4">
        <v>299</v>
      </c>
    </row>
    <row r="43" spans="2:8" x14ac:dyDescent="0.3">
      <c r="B43" s="3" t="s">
        <v>25</v>
      </c>
      <c r="C43" s="13"/>
      <c r="D43" s="19">
        <v>150</v>
      </c>
      <c r="E43" s="3">
        <v>12</v>
      </c>
      <c r="F43" s="4">
        <f t="shared" si="4"/>
        <v>1800</v>
      </c>
      <c r="G43" s="5">
        <v>0.18</v>
      </c>
      <c r="H43" s="4">
        <v>299</v>
      </c>
    </row>
    <row r="44" spans="2:8" x14ac:dyDescent="0.3">
      <c r="B44" s="3" t="s">
        <v>26</v>
      </c>
      <c r="C44" s="13"/>
      <c r="D44" s="19">
        <v>150</v>
      </c>
      <c r="E44" s="3">
        <v>12</v>
      </c>
      <c r="F44" s="4">
        <f t="shared" si="4"/>
        <v>1800</v>
      </c>
      <c r="G44" s="5">
        <v>0.18</v>
      </c>
      <c r="H44" s="4">
        <v>299</v>
      </c>
    </row>
    <row r="45" spans="2:8" x14ac:dyDescent="0.3">
      <c r="B45" s="3" t="s">
        <v>27</v>
      </c>
      <c r="C45" s="13"/>
      <c r="D45" s="19">
        <v>150</v>
      </c>
      <c r="E45" s="3">
        <v>12</v>
      </c>
      <c r="F45" s="4">
        <f t="shared" si="4"/>
        <v>1800</v>
      </c>
      <c r="G45" s="5">
        <v>0.18</v>
      </c>
      <c r="H45" s="4">
        <v>299</v>
      </c>
    </row>
    <row r="46" spans="2:8" x14ac:dyDescent="0.3">
      <c r="B46" s="3" t="s">
        <v>28</v>
      </c>
      <c r="C46" s="13"/>
      <c r="D46" s="19">
        <v>150</v>
      </c>
      <c r="E46" s="3">
        <v>12</v>
      </c>
      <c r="F46" s="4">
        <f t="shared" si="4"/>
        <v>1800</v>
      </c>
      <c r="G46" s="5">
        <v>0.18</v>
      </c>
      <c r="H46" s="4">
        <v>299</v>
      </c>
    </row>
    <row r="47" spans="2:8" x14ac:dyDescent="0.3">
      <c r="B47" s="3" t="s">
        <v>29</v>
      </c>
      <c r="C47" s="13"/>
      <c r="D47" s="19">
        <v>150</v>
      </c>
      <c r="E47" s="3">
        <v>12</v>
      </c>
      <c r="F47" s="4">
        <f t="shared" si="4"/>
        <v>1800</v>
      </c>
      <c r="G47" s="5">
        <v>0.18</v>
      </c>
      <c r="H47" s="4">
        <v>299</v>
      </c>
    </row>
    <row r="48" spans="2:8" x14ac:dyDescent="0.25">
      <c r="B48" s="1"/>
      <c r="C48" s="14"/>
      <c r="D48" s="20"/>
      <c r="E48" s="1"/>
      <c r="F48" s="1"/>
      <c r="G48" s="1"/>
      <c r="H48" s="1"/>
    </row>
    <row r="49" spans="1:8" s="2" customFormat="1" ht="26" customHeight="1" x14ac:dyDescent="0.3">
      <c r="A49" s="28" t="s">
        <v>30</v>
      </c>
      <c r="B49" s="28"/>
      <c r="C49" s="28"/>
      <c r="D49" s="28"/>
      <c r="E49" s="28"/>
      <c r="F49" s="28"/>
      <c r="G49" s="28"/>
      <c r="H49" s="29"/>
    </row>
    <row r="50" spans="1:8" x14ac:dyDescent="0.3">
      <c r="D50" s="18"/>
    </row>
  </sheetData>
  <mergeCells count="2">
    <mergeCell ref="A1:I1"/>
    <mergeCell ref="A49:H49"/>
  </mergeCells>
  <pageMargins left="0.44" right="0.33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Himanshu Rana</cp:lastModifiedBy>
  <cp:lastPrinted>2025-07-15T09:51:52Z</cp:lastPrinted>
  <dcterms:created xsi:type="dcterms:W3CDTF">2025-07-15T09:47:46Z</dcterms:created>
  <dcterms:modified xsi:type="dcterms:W3CDTF">2026-04-11T06:09:33Z</dcterms:modified>
</cp:coreProperties>
</file>